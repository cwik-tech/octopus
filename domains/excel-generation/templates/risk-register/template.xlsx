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166925"/>
  <mc:AlternateContent xmlns:mc="http://schemas.openxmlformats.org/markup-compatibility/2006">
    <mc:Choice Requires="x15"/>
  </mc:AlternateContent>
  <xr:revisionPtr revIDLastSave="0" documentId="13_ncr:1_{3804EAD3-55DE-0A42-B97E-E7DDC5FB2FD2}" xr6:coauthVersionLast="47" xr6:coauthVersionMax="47" xr10:uidLastSave="{00000000-0000-0000-0000-000000000000}"/>
  <bookViews>
    <workbookView xWindow="0" yWindow="740" windowWidth="30240" windowHeight="18900" activeTab="1" xr2:uid="{5DB37F7C-D48B-4F44-90CE-F5A50661AC3D}"/>
  </bookViews>
  <sheets>
    <sheet name="Risk summary" sheetId="3" r:id="rId1"/>
    <sheet name="Risks" sheetId="1" r:id="rId2"/>
    <sheet name="Lists" sheetId="2" r:id="rId3"/>
  </sheets>
  <definedNames>
    <definedName name="_xlnm._FilterDatabase" localSheetId="1" hidden="1">Risks!$A$1:$L$84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84" i="1" l="1"/>
  <c r="A81" i="1"/>
  <c r="A82" i="1"/>
  <c r="A83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M16" i="3"/>
  <c r="M17" i="3"/>
  <c r="M18" i="3"/>
  <c r="M19" i="3"/>
  <c r="M15" i="3"/>
  <c r="L16" i="3"/>
  <c r="L17" i="3"/>
  <c r="L18" i="3"/>
  <c r="L19" i="3"/>
  <c r="L15" i="3"/>
  <c r="K16" i="3"/>
  <c r="K17" i="3"/>
  <c r="K18" i="3"/>
  <c r="K19" i="3"/>
  <c r="K15" i="3"/>
  <c r="L5" i="3"/>
  <c r="L8" i="3"/>
  <c r="L6" i="3"/>
  <c r="M6" i="3"/>
  <c r="M7" i="3"/>
  <c r="M8" i="3"/>
  <c r="M9" i="3"/>
  <c r="M5" i="3"/>
  <c r="L7" i="3"/>
  <c r="L9" i="3"/>
  <c r="K6" i="3"/>
  <c r="K7" i="3"/>
  <c r="K8" i="3"/>
  <c r="K9" i="3"/>
  <c r="K5" i="3"/>
  <c r="E7" i="3"/>
  <c r="F7" i="3"/>
  <c r="F6" i="3"/>
  <c r="F5" i="3"/>
  <c r="E6" i="3"/>
  <c r="E5" i="3"/>
  <c r="D7" i="3"/>
  <c r="D6" i="3"/>
  <c r="D5" i="3"/>
  <c r="N8" i="3" l="1"/>
  <c r="N15" i="3"/>
  <c r="N7" i="3"/>
  <c r="M10" i="3"/>
  <c r="N17" i="3"/>
  <c r="N19" i="3"/>
  <c r="N16" i="3"/>
  <c r="N18" i="3"/>
  <c r="N5" i="3"/>
  <c r="N6" i="3"/>
  <c r="N9" i="3"/>
  <c r="L10" i="3"/>
  <c r="K20" i="3"/>
  <c r="K10" i="3"/>
  <c r="M20" i="3"/>
  <c r="L20" i="3"/>
  <c r="N10" i="3" l="1"/>
  <c r="O8" i="3" s="1"/>
  <c r="N20" i="3"/>
  <c r="E8" i="3"/>
  <c r="F8" i="3"/>
  <c r="D8" i="3"/>
  <c r="G6" i="3"/>
  <c r="G7" i="3"/>
  <c r="G5" i="3"/>
  <c r="A20" i="1"/>
  <c r="A21" i="1"/>
  <c r="A2" i="1"/>
  <c r="A3" i="1"/>
  <c r="A22" i="1"/>
  <c r="A23" i="1"/>
  <c r="A24" i="1"/>
  <c r="A25" i="1"/>
  <c r="A26" i="1"/>
  <c r="A27" i="1"/>
  <c r="A28" i="1"/>
  <c r="A29" i="1"/>
  <c r="A14" i="1"/>
  <c r="A30" i="1"/>
  <c r="A4" i="1"/>
  <c r="A5" i="1"/>
  <c r="A6" i="1"/>
  <c r="A7" i="1"/>
  <c r="A8" i="1"/>
  <c r="A9" i="1"/>
  <c r="A10" i="1"/>
  <c r="A11" i="1"/>
  <c r="A17" i="1"/>
  <c r="A31" i="1"/>
  <c r="A12" i="1"/>
  <c r="A13" i="1"/>
  <c r="A18" i="1"/>
  <c r="A32" i="1"/>
  <c r="A15" i="1"/>
  <c r="A16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19" i="1"/>
  <c r="O18" i="3" l="1"/>
  <c r="K11" i="3"/>
  <c r="O5" i="3"/>
  <c r="O15" i="3"/>
  <c r="O9" i="3"/>
  <c r="O16" i="3"/>
  <c r="L11" i="3"/>
  <c r="M11" i="3"/>
  <c r="O6" i="3"/>
  <c r="O19" i="3"/>
  <c r="O7" i="3"/>
  <c r="K21" i="3"/>
  <c r="M21" i="3"/>
  <c r="O17" i="3"/>
  <c r="L21" i="3"/>
  <c r="G8" i="3"/>
  <c r="O11" i="3" l="1"/>
  <c r="O21" i="3"/>
  <c r="F12" i="3"/>
  <c r="F15" i="3"/>
  <c r="F14" i="3"/>
  <c r="F13" i="3"/>
  <c r="E9" i="3"/>
  <c r="H7" i="3"/>
  <c r="F9" i="3"/>
  <c r="D9" i="3"/>
  <c r="H5" i="3"/>
  <c r="H6" i="3"/>
  <c r="H9" i="3" l="1"/>
  <c r="F16" i="3"/>
</calcChain>
</file>

<file path=xl/sharedStrings.xml><?xml version="1.0" encoding="utf-8"?>
<sst xmlns="http://schemas.openxmlformats.org/spreadsheetml/2006/main" count="93" uniqueCount="47">
  <si>
    <t>#</t>
  </si>
  <si>
    <t>Risk</t>
  </si>
  <si>
    <t>Likelihood</t>
  </si>
  <si>
    <t>Severity</t>
  </si>
  <si>
    <t>Action</t>
  </si>
  <si>
    <t>Low</t>
  </si>
  <si>
    <t>Med</t>
  </si>
  <si>
    <t>High</t>
  </si>
  <si>
    <t>Technology</t>
  </si>
  <si>
    <t>Market</t>
  </si>
  <si>
    <t>Business</t>
  </si>
  <si>
    <t>Security</t>
  </si>
  <si>
    <t>Operations</t>
  </si>
  <si>
    <t>Engineering lead</t>
  </si>
  <si>
    <t>Operations lead</t>
  </si>
  <si>
    <t>Accountable for Action</t>
  </si>
  <si>
    <t>Status</t>
  </si>
  <si>
    <t>To Do</t>
  </si>
  <si>
    <t>Doing</t>
  </si>
  <si>
    <t>Done</t>
  </si>
  <si>
    <t>Abandoned</t>
  </si>
  <si>
    <t>Sum</t>
  </si>
  <si>
    <t>Medium</t>
  </si>
  <si>
    <t>Totals</t>
  </si>
  <si>
    <t>% of cases</t>
  </si>
  <si>
    <t>`</t>
  </si>
  <si>
    <t>Y</t>
  </si>
  <si>
    <t>N</t>
  </si>
  <si>
    <t>Effort</t>
  </si>
  <si>
    <t>Detailed Action description</t>
  </si>
  <si>
    <t>Internal</t>
  </si>
  <si>
    <t>Priority</t>
  </si>
  <si>
    <t>CTO</t>
  </si>
  <si>
    <t>COO</t>
  </si>
  <si>
    <t>CEO</t>
  </si>
  <si>
    <t>CMSO</t>
  </si>
  <si>
    <t>Process engineer</t>
  </si>
  <si>
    <t>Project team</t>
  </si>
  <si>
    <t>Lawyers</t>
  </si>
  <si>
    <t>Category</t>
  </si>
  <si>
    <t>Jira Issue</t>
  </si>
  <si>
    <t>Acceptance</t>
  </si>
  <si>
    <t>Avoidance</t>
  </si>
  <si>
    <t>Transference</t>
  </si>
  <si>
    <t>Control</t>
  </si>
  <si>
    <t>Mitigation Strategy</t>
  </si>
  <si>
    <t>Regulatory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</si>
</sst>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sz val="8"/>
      <color theme="1"/>
      <name val="Arial"/>
      <family val="2"/>
    </font>
    <font>
      <sz val="10"/>
      <name val="Arial"/>
      <family val="2"/>
    </font>
    <font>
      <b/>
      <sz val="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2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22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0" xfId="0" applyBorder="1" applyAlignment="1">
      <alignment horizontal="center"/>
    </xf>
    <xf numFmtId="0" fontId="4" fillId="0" borderId="31" xfId="0" applyFont="1" applyBorder="1" applyAlignment="1">
      <alignment horizontal="right"/>
    </xf>
    <xf numFmtId="0" fontId="4" fillId="0" borderId="7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9" fontId="0" fillId="0" borderId="0" xfId="1" applyFont="1" applyAlignment="1">
      <alignment horizontal="center"/>
    </xf>
    <xf numFmtId="0" fontId="0" fillId="0" borderId="32" xfId="0" applyBorder="1"/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4" fillId="0" borderId="16" xfId="0" applyFont="1" applyBorder="1" applyAlignment="1">
      <alignment horizontal="right"/>
    </xf>
    <xf numFmtId="9" fontId="4" fillId="0" borderId="36" xfId="1" applyFont="1" applyBorder="1" applyAlignment="1">
      <alignment horizontal="center"/>
    </xf>
    <xf numFmtId="9" fontId="4" fillId="0" borderId="37" xfId="1" applyFont="1" applyBorder="1" applyAlignment="1">
      <alignment horizontal="center"/>
    </xf>
    <xf numFmtId="9" fontId="4" fillId="0" borderId="38" xfId="1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0" fillId="0" borderId="40" xfId="0" applyBorder="1"/>
    <xf numFmtId="0" fontId="0" fillId="0" borderId="41" xfId="0" applyBorder="1"/>
    <xf numFmtId="0" fontId="0" fillId="0" borderId="9" xfId="0" applyBorder="1"/>
    <xf numFmtId="0" fontId="0" fillId="0" borderId="17" xfId="0" applyBorder="1" applyAlignment="1">
      <alignment horizontal="center"/>
    </xf>
    <xf numFmtId="0" fontId="0" fillId="0" borderId="41" xfId="0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4" fillId="0" borderId="45" xfId="0" applyFont="1" applyBorder="1" applyAlignment="1">
      <alignment horizontal="right"/>
    </xf>
    <xf numFmtId="0" fontId="0" fillId="0" borderId="48" xfId="0" applyBorder="1" applyAlignment="1">
      <alignment horizontal="center"/>
    </xf>
    <xf numFmtId="0" fontId="4" fillId="0" borderId="4" xfId="0" applyFont="1" applyBorder="1" applyAlignment="1">
      <alignment horizontal="right"/>
    </xf>
    <xf numFmtId="9" fontId="4" fillId="0" borderId="5" xfId="1" applyFont="1" applyBorder="1" applyAlignment="1">
      <alignment horizontal="center"/>
    </xf>
    <xf numFmtId="9" fontId="4" fillId="0" borderId="39" xfId="1" applyFont="1" applyBorder="1" applyAlignment="1">
      <alignment horizontal="center"/>
    </xf>
    <xf numFmtId="0" fontId="4" fillId="0" borderId="6" xfId="0" applyFont="1" applyBorder="1"/>
    <xf numFmtId="0" fontId="0" fillId="0" borderId="11" xfId="0" applyBorder="1" applyAlignment="1">
      <alignment horizontal="center"/>
    </xf>
    <xf numFmtId="0" fontId="4" fillId="0" borderId="43" xfId="0" applyFont="1" applyBorder="1"/>
    <xf numFmtId="0" fontId="4" fillId="0" borderId="49" xfId="0" applyFont="1" applyBorder="1"/>
    <xf numFmtId="0" fontId="4" fillId="0" borderId="43" xfId="0" applyFont="1" applyBorder="1" applyAlignment="1">
      <alignment horizontal="center"/>
    </xf>
    <xf numFmtId="0" fontId="4" fillId="0" borderId="50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2" borderId="23" xfId="0" applyFill="1" applyBorder="1" applyAlignment="1">
      <alignment horizontal="center"/>
    </xf>
    <xf numFmtId="9" fontId="4" fillId="0" borderId="45" xfId="1" applyFont="1" applyBorder="1" applyAlignment="1">
      <alignment horizontal="center"/>
    </xf>
    <xf numFmtId="9" fontId="4" fillId="0" borderId="46" xfId="1" applyFont="1" applyBorder="1" applyAlignment="1">
      <alignment horizontal="center"/>
    </xf>
    <xf numFmtId="9" fontId="4" fillId="0" borderId="47" xfId="1" applyFont="1" applyBorder="1" applyAlignment="1">
      <alignment horizontal="center"/>
    </xf>
    <xf numFmtId="0" fontId="0" fillId="0" borderId="44" xfId="0" applyBorder="1" applyAlignment="1">
      <alignment horizontal="center"/>
    </xf>
    <xf numFmtId="0" fontId="0" fillId="4" borderId="40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3" borderId="41" xfId="0" applyFill="1" applyBorder="1" applyAlignment="1">
      <alignment horizontal="center"/>
    </xf>
    <xf numFmtId="0" fontId="4" fillId="0" borderId="49" xfId="0" applyFont="1" applyBorder="1" applyAlignment="1">
      <alignment horizontal="center"/>
    </xf>
    <xf numFmtId="9" fontId="4" fillId="0" borderId="7" xfId="1" applyFont="1" applyBorder="1" applyAlignment="1">
      <alignment horizontal="center"/>
    </xf>
    <xf numFmtId="0" fontId="4" fillId="0" borderId="45" xfId="0" applyFont="1" applyBorder="1" applyAlignment="1">
      <alignment horizontal="center"/>
    </xf>
    <xf numFmtId="0" fontId="4" fillId="0" borderId="48" xfId="0" applyFont="1" applyBorder="1" applyAlignment="1">
      <alignment horizontal="center"/>
    </xf>
    <xf numFmtId="0" fontId="4" fillId="0" borderId="46" xfId="0" applyFont="1" applyBorder="1" applyAlignment="1">
      <alignment horizontal="center"/>
    </xf>
    <xf numFmtId="0" fontId="4" fillId="0" borderId="47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9" fontId="4" fillId="0" borderId="2" xfId="0" applyNumberFormat="1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9" fontId="4" fillId="0" borderId="51" xfId="1" applyFont="1" applyBorder="1" applyAlignment="1">
      <alignment horizontal="center"/>
    </xf>
    <xf numFmtId="9" fontId="4" fillId="0" borderId="16" xfId="1" applyFont="1" applyBorder="1" applyAlignment="1">
      <alignment horizontal="center"/>
    </xf>
    <xf numFmtId="9" fontId="4" fillId="0" borderId="12" xfId="1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0" fontId="4" fillId="0" borderId="30" xfId="0" applyFont="1" applyBorder="1" applyAlignment="1">
      <alignment horizontal="center"/>
    </xf>
    <xf numFmtId="0" fontId="4" fillId="0" borderId="28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31" xfId="0" applyFont="1" applyBorder="1" applyAlignment="1">
      <alignment horizontal="center"/>
    </xf>
    <xf numFmtId="9" fontId="0" fillId="0" borderId="21" xfId="1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6" xfId="0" applyBorder="1" applyAlignment="1">
      <alignment horizontal="center"/>
    </xf>
    <xf numFmtId="9" fontId="0" fillId="0" borderId="19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9" fontId="2" fillId="0" borderId="38" xfId="0" applyNumberFormat="1" applyFont="1" applyBorder="1" applyAlignment="1">
      <alignment horizontal="center"/>
    </xf>
    <xf numFmtId="0" fontId="0" fillId="0" borderId="37" xfId="0" applyBorder="1" applyAlignment="1">
      <alignment horizontal="right"/>
    </xf>
    <xf numFmtId="0" fontId="4" fillId="0" borderId="4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3" fillId="0" borderId="39" xfId="0" applyFont="1" applyBorder="1" applyAlignment="1">
      <alignment horizontal="center" vertical="center" wrapText="1"/>
    </xf>
    <xf numFmtId="0" fontId="0" fillId="0" borderId="52" xfId="0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21" xfId="0" applyBorder="1"/>
    <xf numFmtId="0" fontId="0" fillId="0" borderId="1" xfId="0" applyBorder="1"/>
    <xf numFmtId="0" fontId="0" fillId="0" borderId="3" xfId="0" applyBorder="1"/>
    <xf numFmtId="0" fontId="2" fillId="0" borderId="3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42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2" fillId="0" borderId="55" xfId="0" applyFont="1" applyBorder="1" applyAlignment="1">
      <alignment horizontal="center"/>
    </xf>
    <xf numFmtId="0" fontId="0" fillId="0" borderId="52" xfId="0" applyBorder="1"/>
    <xf numFmtId="0" fontId="0" fillId="0" borderId="53" xfId="0" applyBorder="1"/>
  </cellXfs>
  <cellStyles count="2">
    <cellStyle name="Normal" xfId="0" builtinId="0"/>
    <cellStyle name="Percent" xfId="1" builtinId="5"/>
  </cellStyles>
  <dxfs count="10"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501C9-1DE9-45BA-8CDF-488872C4E5F2}">
  <dimension ref="A2:O23"/>
  <sheetViews>
    <sheetView zoomScale="130" zoomScaleNormal="130" workbookViewId="0">
      <selection activeCell="F26" sqref="F26"/>
    </sheetView>
  </sheetViews>
  <sheetFormatPr baseColWidth="10" defaultColWidth="8.83203125" defaultRowHeight="13" x14ac:dyDescent="0.15"/>
  <cols>
    <col min="2" max="2" width="10.5" bestFit="1" customWidth="1"/>
    <col min="3" max="3" width="7.5" bestFit="1" customWidth="1"/>
    <col min="4" max="5" width="9.1640625" style="1"/>
    <col min="6" max="6" width="10.33203125" style="1" customWidth="1"/>
    <col min="7" max="7" width="6.1640625" style="1" customWidth="1"/>
    <col min="8" max="9" width="9.1640625" style="1"/>
    <col min="10" max="10" width="10.5" bestFit="1" customWidth="1"/>
    <col min="14" max="14" width="7.5" customWidth="1"/>
    <col min="15" max="15" width="10.1640625" customWidth="1"/>
  </cols>
  <sheetData>
    <row r="2" spans="1:15" ht="14" thickBot="1" x14ac:dyDescent="0.2"/>
    <row r="3" spans="1:15" x14ac:dyDescent="0.15">
      <c r="B3" s="125"/>
      <c r="C3" s="126"/>
      <c r="D3" s="118" t="s">
        <v>3</v>
      </c>
      <c r="E3" s="119"/>
      <c r="F3" s="120"/>
      <c r="G3" s="63" t="s">
        <v>21</v>
      </c>
      <c r="H3" s="41" t="s">
        <v>24</v>
      </c>
      <c r="J3" s="14"/>
      <c r="K3" s="118" t="s">
        <v>2</v>
      </c>
      <c r="L3" s="119"/>
      <c r="M3" s="121"/>
      <c r="N3" s="63" t="s">
        <v>21</v>
      </c>
      <c r="O3" s="41" t="s">
        <v>24</v>
      </c>
    </row>
    <row r="4" spans="1:15" ht="14" thickBot="1" x14ac:dyDescent="0.2">
      <c r="B4" s="127"/>
      <c r="C4" s="128"/>
      <c r="D4" s="26" t="s">
        <v>5</v>
      </c>
      <c r="E4" s="27" t="s">
        <v>22</v>
      </c>
      <c r="F4" s="57" t="s">
        <v>7</v>
      </c>
      <c r="G4" s="64"/>
      <c r="H4" s="42"/>
      <c r="J4" s="15"/>
      <c r="K4" s="18" t="s">
        <v>5</v>
      </c>
      <c r="L4" s="10" t="s">
        <v>6</v>
      </c>
      <c r="M4" s="39" t="s">
        <v>7</v>
      </c>
      <c r="N4" s="75"/>
      <c r="O4" s="67"/>
    </row>
    <row r="5" spans="1:15" x14ac:dyDescent="0.15">
      <c r="B5" s="122" t="s">
        <v>2</v>
      </c>
      <c r="C5" s="35" t="s">
        <v>5</v>
      </c>
      <c r="D5" s="38">
        <f>COUNTIFS(Risks!D2:D1048576,"Low",Risks!E2:E1048576,"Low")</f>
        <v>0</v>
      </c>
      <c r="E5" s="52">
        <f>COUNTIFS(Risks!D2:D1048576,"Low",Risks!E2:E1048576,"Med")</f>
        <v>0</v>
      </c>
      <c r="F5" s="58">
        <f>COUNTIFS(Risks!D2:D1048576,"Low",Risks!E2:E1048576,"High")</f>
        <v>0</v>
      </c>
      <c r="G5" s="63">
        <f>SUM(D5:F5)</f>
        <v>0</v>
      </c>
      <c r="H5" s="54" t="e">
        <f>SUM(D5:F5)/$G$8</f>
        <v>#DIV/0!</v>
      </c>
      <c r="J5" s="16" t="s">
        <v>10</v>
      </c>
      <c r="K5" s="19">
        <f>COUNTIFS(Risks!C$2:C$92,'Risk summary'!J5,Risks!D$2:D$92,'Risk summary'!$K$4)</f>
        <v>0</v>
      </c>
      <c r="L5" s="12">
        <f>COUNTIFS(Risks!$C$2:$C$92,'Risk summary'!J5,Risks!$D$2:$D$92,'Risk summary'!$L$4)</f>
        <v>0</v>
      </c>
      <c r="M5" s="70">
        <f>COUNTIFS(Risks!$C$2:$C$92,'Risk summary'!J5,Risks!$D$2:$D$92,'Risk summary'!$M$4)</f>
        <v>0</v>
      </c>
      <c r="N5" s="76">
        <f>SUM(K5:M5)</f>
        <v>0</v>
      </c>
      <c r="O5" s="54" t="e">
        <f>SUM(K5:M5)/$N$10</f>
        <v>#DIV/0!</v>
      </c>
    </row>
    <row r="6" spans="1:15" x14ac:dyDescent="0.15">
      <c r="B6" s="123"/>
      <c r="C6" s="37" t="s">
        <v>22</v>
      </c>
      <c r="D6" s="20">
        <f>COUNTIFS(Risks!D2:D1048576,"Med",Risks!E2:E1048576,"Low")</f>
        <v>0</v>
      </c>
      <c r="E6" s="40">
        <f>COUNTIFS(Risks!D2:D1048576,"Med",Risks!E2:E1048576,"Med")</f>
        <v>0</v>
      </c>
      <c r="F6" s="59">
        <f>COUNTIFS(Risks!D2:D1048576,"Med",Risks!E2:E1048576,"High")</f>
        <v>0</v>
      </c>
      <c r="G6" s="65">
        <f t="shared" ref="G6:G7" si="0">SUM(D6:F6)</f>
        <v>0</v>
      </c>
      <c r="H6" s="55" t="e">
        <f t="shared" ref="H6:H7" si="1">SUM(D6:F6)/$G$8</f>
        <v>#DIV/0!</v>
      </c>
      <c r="J6" s="17" t="s">
        <v>9</v>
      </c>
      <c r="K6" s="20">
        <f>COUNTIFS(Risks!C$2:C$92,'Risk summary'!J6,Risks!D$2:D$92,'Risk summary'!$K$4)</f>
        <v>0</v>
      </c>
      <c r="L6" s="8">
        <f>COUNTIFS(Risks!$C$2:$C$92,'Risk summary'!J6,Risks!$D$2:$D$92,'Risk summary'!$L$4)</f>
        <v>0</v>
      </c>
      <c r="M6" s="71">
        <f>COUNTIFS(Risks!$C$2:$C$92,'Risk summary'!J6,Risks!$D$2:$D$92,'Risk summary'!$M$4)</f>
        <v>0</v>
      </c>
      <c r="N6" s="77">
        <f t="shared" ref="N6:N10" si="2">SUM(K6:M6)</f>
        <v>0</v>
      </c>
      <c r="O6" s="55" t="e">
        <f t="shared" ref="O6:O9" si="3">SUM(K6:M6)/$N$10</f>
        <v>#DIV/0!</v>
      </c>
    </row>
    <row r="7" spans="1:15" ht="14" thickBot="1" x14ac:dyDescent="0.2">
      <c r="B7" s="124"/>
      <c r="C7" s="36" t="s">
        <v>7</v>
      </c>
      <c r="D7" s="18">
        <f>COUNTIFS(Risks!D2:D1048576,"High",Risks!E2:E1048576,"Low")</f>
        <v>0</v>
      </c>
      <c r="E7" s="53">
        <f>COUNTIFS(Risks!D2:D1048576,"High",Risks!E2:E1048576,"Med")</f>
        <v>0</v>
      </c>
      <c r="F7" s="60">
        <f>COUNTIFS(Risks!D2:D1048576,"High",Risks!E2:E1048576,"High")</f>
        <v>0</v>
      </c>
      <c r="G7" s="66">
        <f t="shared" si="0"/>
        <v>0</v>
      </c>
      <c r="H7" s="56" t="e">
        <f t="shared" si="1"/>
        <v>#DIV/0!</v>
      </c>
      <c r="J7" s="17" t="s">
        <v>12</v>
      </c>
      <c r="K7" s="20">
        <f>COUNTIFS(Risks!C$2:C$92,'Risk summary'!J7,Risks!D$2:D$92,'Risk summary'!$K$4)</f>
        <v>0</v>
      </c>
      <c r="L7" s="8">
        <f>COUNTIFS(Risks!$C$2:$C$92,'Risk summary'!J7,Risks!$D$2:$D$92,'Risk summary'!$L$4)</f>
        <v>0</v>
      </c>
      <c r="M7" s="71">
        <f>COUNTIFS(Risks!$C$2:$C$92,'Risk summary'!J7,Risks!$D$2:$D$92,'Risk summary'!$M$4)</f>
        <v>0</v>
      </c>
      <c r="N7" s="77">
        <f t="shared" si="2"/>
        <v>0</v>
      </c>
      <c r="O7" s="55" t="e">
        <f t="shared" si="3"/>
        <v>#DIV/0!</v>
      </c>
    </row>
    <row r="8" spans="1:15" ht="14" thickBot="1" x14ac:dyDescent="0.2">
      <c r="B8" s="48" t="s">
        <v>21</v>
      </c>
      <c r="C8" s="49"/>
      <c r="D8" s="50">
        <f>SUM(D5:D7)</f>
        <v>0</v>
      </c>
      <c r="E8" s="51">
        <f t="shared" ref="E8:F8" si="4">SUM(E5:E7)</f>
        <v>0</v>
      </c>
      <c r="F8" s="61">
        <f t="shared" si="4"/>
        <v>0</v>
      </c>
      <c r="G8" s="79">
        <f>SUM(G5:G7)</f>
        <v>0</v>
      </c>
      <c r="H8" s="47"/>
      <c r="J8" s="17" t="s">
        <v>11</v>
      </c>
      <c r="K8" s="20">
        <f>COUNTIFS(Risks!C$2:C$92,'Risk summary'!J8,Risks!D$2:D$92,'Risk summary'!$K$4)</f>
        <v>0</v>
      </c>
      <c r="L8" s="8">
        <f>COUNTIFS(Risks!$C$2:$C$92,'Risk summary'!J8,Risks!$D$2:$D$92,'Risk summary'!$L$4)</f>
        <v>0</v>
      </c>
      <c r="M8" s="71">
        <f>COUNTIFS(Risks!$C$2:$C$92,'Risk summary'!J8,Risks!$D$2:$D$92,'Risk summary'!$M$4)</f>
        <v>0</v>
      </c>
      <c r="N8" s="77">
        <f t="shared" si="2"/>
        <v>0</v>
      </c>
      <c r="O8" s="55" t="e">
        <f t="shared" si="3"/>
        <v>#DIV/0!</v>
      </c>
    </row>
    <row r="9" spans="1:15" ht="14" thickBot="1" x14ac:dyDescent="0.2">
      <c r="B9" s="43" t="s">
        <v>24</v>
      </c>
      <c r="C9" s="46"/>
      <c r="D9" s="45" t="e">
        <f t="shared" ref="D9:E9" si="5">SUM(D5:D7)/$G$8</f>
        <v>#DIV/0!</v>
      </c>
      <c r="E9" s="44" t="e">
        <f t="shared" si="5"/>
        <v>#DIV/0!</v>
      </c>
      <c r="F9" s="62" t="e">
        <f>SUM(F5:F7)/$G$8</f>
        <v>#DIV/0!</v>
      </c>
      <c r="G9" s="68"/>
      <c r="H9" s="69" t="e">
        <f>SUM(D9:F9)</f>
        <v>#DIV/0!</v>
      </c>
      <c r="J9" s="25" t="s">
        <v>8</v>
      </c>
      <c r="K9" s="26">
        <f>COUNTIFS(Risks!C$2:C$92,'Risk summary'!J9,Risks!D$2:D$92,'Risk summary'!$K$4)</f>
        <v>0</v>
      </c>
      <c r="L9" s="27">
        <f>COUNTIFS(Risks!$C$2:$C$92,'Risk summary'!J9,Risks!$D$2:$D$92,'Risk summary'!$L$4)</f>
        <v>0</v>
      </c>
      <c r="M9" s="57">
        <f>COUNTIFS(Risks!$C$2:$C$92,'Risk summary'!J9,Risks!$D$2:$D$92,'Risk summary'!$M$4)</f>
        <v>0</v>
      </c>
      <c r="N9" s="78">
        <f t="shared" si="2"/>
        <v>0</v>
      </c>
      <c r="O9" s="56" t="e">
        <f t="shared" si="3"/>
        <v>#DIV/0!</v>
      </c>
    </row>
    <row r="10" spans="1:15" ht="14" thickBot="1" x14ac:dyDescent="0.2">
      <c r="J10" s="21" t="s">
        <v>23</v>
      </c>
      <c r="K10" s="33">
        <f>SUM(K5:K9)</f>
        <v>0</v>
      </c>
      <c r="L10" s="34">
        <f t="shared" ref="L10:M10" si="6">SUM(L5:L9)</f>
        <v>0</v>
      </c>
      <c r="M10" s="22">
        <f t="shared" si="6"/>
        <v>0</v>
      </c>
      <c r="N10" s="80">
        <f t="shared" si="2"/>
        <v>0</v>
      </c>
      <c r="O10" s="68"/>
    </row>
    <row r="11" spans="1:15" ht="14" thickBot="1" x14ac:dyDescent="0.2">
      <c r="D11" s="82" t="s">
        <v>2</v>
      </c>
      <c r="E11" s="83" t="s">
        <v>3</v>
      </c>
      <c r="F11" s="84" t="s">
        <v>24</v>
      </c>
      <c r="J11" s="29" t="s">
        <v>24</v>
      </c>
      <c r="K11" s="30" t="e">
        <f>K10/$N$10</f>
        <v>#DIV/0!</v>
      </c>
      <c r="L11" s="31" t="e">
        <f t="shared" ref="L11:M11" si="7">L10/$N$10</f>
        <v>#DIV/0!</v>
      </c>
      <c r="M11" s="72" t="e">
        <f t="shared" si="7"/>
        <v>#DIV/0!</v>
      </c>
      <c r="N11" s="73"/>
      <c r="O11" s="74" t="e">
        <f>SUM(K11:M11)</f>
        <v>#DIV/0!</v>
      </c>
    </row>
    <row r="12" spans="1:15" ht="14" thickBot="1" x14ac:dyDescent="0.2">
      <c r="D12" s="38" t="s">
        <v>7</v>
      </c>
      <c r="E12" s="52" t="s">
        <v>7</v>
      </c>
      <c r="F12" s="86" t="e">
        <f>F7/G8</f>
        <v>#DIV/0!</v>
      </c>
    </row>
    <row r="13" spans="1:15" x14ac:dyDescent="0.15">
      <c r="D13" s="20" t="s">
        <v>6</v>
      </c>
      <c r="E13" s="8" t="s">
        <v>7</v>
      </c>
      <c r="F13" s="81" t="e">
        <f>F6/G8</f>
        <v>#DIV/0!</v>
      </c>
      <c r="J13" s="14"/>
      <c r="K13" s="118" t="s">
        <v>3</v>
      </c>
      <c r="L13" s="119"/>
      <c r="M13" s="121"/>
      <c r="N13" s="63" t="s">
        <v>21</v>
      </c>
      <c r="O13" s="90" t="s">
        <v>24</v>
      </c>
    </row>
    <row r="14" spans="1:15" ht="14" thickBot="1" x14ac:dyDescent="0.2">
      <c r="A14" t="s">
        <v>25</v>
      </c>
      <c r="D14" s="20" t="s">
        <v>7</v>
      </c>
      <c r="E14" s="8" t="s">
        <v>6</v>
      </c>
      <c r="F14" s="81" t="e">
        <f>E7/G8</f>
        <v>#DIV/0!</v>
      </c>
      <c r="J14" s="15"/>
      <c r="K14" s="18" t="s">
        <v>5</v>
      </c>
      <c r="L14" s="10" t="s">
        <v>6</v>
      </c>
      <c r="M14" s="11" t="s">
        <v>7</v>
      </c>
      <c r="N14" s="75"/>
      <c r="O14" s="67"/>
    </row>
    <row r="15" spans="1:15" ht="14" thickBot="1" x14ac:dyDescent="0.2">
      <c r="D15" s="18" t="s">
        <v>5</v>
      </c>
      <c r="E15" s="10" t="s">
        <v>7</v>
      </c>
      <c r="F15" s="87" t="e">
        <f>F5/G8</f>
        <v>#DIV/0!</v>
      </c>
      <c r="J15" s="16" t="s">
        <v>10</v>
      </c>
      <c r="K15" s="19">
        <f>COUNTIFS(Risks!$C$2:$C$92,'Risk summary'!J5,Risks!$E$2:$E$92,'Risk summary'!$K$14)</f>
        <v>0</v>
      </c>
      <c r="L15" s="12">
        <f>COUNTIFS(Risks!$C$2:$C$92,'Risk summary'!J5,Risks!$E$2:$E$92,'Risk summary'!$L$14)</f>
        <v>0</v>
      </c>
      <c r="M15" s="13">
        <f>COUNTIFS(Risks!$C$2:$C$92,'Risk summary'!J5,Risks!$E$2:$E$92,'Risk summary'!$M$14)</f>
        <v>0</v>
      </c>
      <c r="N15" s="76">
        <f>SUM(K15:M15)</f>
        <v>0</v>
      </c>
      <c r="O15" s="54" t="e">
        <f>SUM(K15:M15)/$N$10</f>
        <v>#DIV/0!</v>
      </c>
    </row>
    <row r="16" spans="1:15" ht="14" thickBot="1" x14ac:dyDescent="0.2">
      <c r="D16" s="85"/>
      <c r="E16" s="89" t="s">
        <v>21</v>
      </c>
      <c r="F16" s="88" t="e">
        <f>SUM(F12:F15)</f>
        <v>#DIV/0!</v>
      </c>
      <c r="J16" s="17" t="s">
        <v>9</v>
      </c>
      <c r="K16" s="20">
        <f>COUNTIFS(Risks!$C$2:$C$92,'Risk summary'!J6,Risks!$E$2:$E$92,'Risk summary'!$K$14)</f>
        <v>0</v>
      </c>
      <c r="L16" s="8">
        <f>COUNTIFS(Risks!$C$2:$C$92,'Risk summary'!J6,Risks!$E$2:$E$92,'Risk summary'!$L$14)</f>
        <v>0</v>
      </c>
      <c r="M16" s="9">
        <f>COUNTIFS(Risks!$C$2:$C$92,'Risk summary'!J6,Risks!$E$2:$E$92,'Risk summary'!$M$14)</f>
        <v>0</v>
      </c>
      <c r="N16" s="77">
        <f t="shared" ref="N16:N20" si="8">SUM(K16:M16)</f>
        <v>0</v>
      </c>
      <c r="O16" s="55" t="e">
        <f t="shared" ref="O16:O19" si="9">SUM(K16:M16)/$N$10</f>
        <v>#DIV/0!</v>
      </c>
    </row>
    <row r="17" spans="4:15" x14ac:dyDescent="0.15">
      <c r="J17" s="17" t="s">
        <v>12</v>
      </c>
      <c r="K17" s="20">
        <f>COUNTIFS(Risks!$C$2:$C$92,'Risk summary'!J7,Risks!$E$2:$E$92,'Risk summary'!$K$14)</f>
        <v>0</v>
      </c>
      <c r="L17" s="8">
        <f>COUNTIFS(Risks!$C$2:$C$92,'Risk summary'!J7,Risks!$E$2:$E$92,'Risk summary'!$L$14)</f>
        <v>0</v>
      </c>
      <c r="M17" s="9">
        <f>COUNTIFS(Risks!$C$2:$C$92,'Risk summary'!J7,Risks!$E$2:$E$92,'Risk summary'!$M$14)</f>
        <v>0</v>
      </c>
      <c r="N17" s="77">
        <f t="shared" si="8"/>
        <v>0</v>
      </c>
      <c r="O17" s="55" t="e">
        <f t="shared" si="9"/>
        <v>#DIV/0!</v>
      </c>
    </row>
    <row r="18" spans="4:15" x14ac:dyDescent="0.15">
      <c r="J18" s="17" t="s">
        <v>11</v>
      </c>
      <c r="K18" s="20">
        <f>COUNTIFS(Risks!$C$2:$C$92,'Risk summary'!J8,Risks!$E$2:$E$92,'Risk summary'!$K$14)</f>
        <v>0</v>
      </c>
      <c r="L18" s="8">
        <f>COUNTIFS(Risks!$C$2:$C$92,'Risk summary'!J8,Risks!$E$2:$E$92,'Risk summary'!$L$14)</f>
        <v>0</v>
      </c>
      <c r="M18" s="9">
        <f>COUNTIFS(Risks!$C$2:$C$92,'Risk summary'!J8,Risks!$E$2:$E$92,'Risk summary'!$M$14)</f>
        <v>0</v>
      </c>
      <c r="N18" s="77">
        <f t="shared" si="8"/>
        <v>0</v>
      </c>
      <c r="O18" s="55" t="e">
        <f t="shared" si="9"/>
        <v>#DIV/0!</v>
      </c>
    </row>
    <row r="19" spans="4:15" ht="14" thickBot="1" x14ac:dyDescent="0.2">
      <c r="J19" s="25" t="s">
        <v>8</v>
      </c>
      <c r="K19" s="26">
        <f>COUNTIFS(Risks!$C$2:$C$92,'Risk summary'!J9,Risks!$E$2:$E$92,'Risk summary'!$K$14)</f>
        <v>0</v>
      </c>
      <c r="L19" s="27">
        <f>COUNTIFS(Risks!$C$2:$C$92,'Risk summary'!J9,Risks!$E$2:$E$92,'Risk summary'!$L$14)</f>
        <v>0</v>
      </c>
      <c r="M19" s="28">
        <f>COUNTIFS(Risks!$C$2:$C$92,'Risk summary'!J9,Risks!$E$2:$E$92,'Risk summary'!$M$14)</f>
        <v>0</v>
      </c>
      <c r="N19" s="78">
        <f t="shared" si="8"/>
        <v>0</v>
      </c>
      <c r="O19" s="56" t="e">
        <f t="shared" si="9"/>
        <v>#DIV/0!</v>
      </c>
    </row>
    <row r="20" spans="4:15" ht="14" thickBot="1" x14ac:dyDescent="0.2">
      <c r="J20" s="21" t="s">
        <v>23</v>
      </c>
      <c r="K20" s="33">
        <f>SUM(K15:K19)</f>
        <v>0</v>
      </c>
      <c r="L20" s="34">
        <f>SUM(L15:L19)</f>
        <v>0</v>
      </c>
      <c r="M20" s="23">
        <f>SUM(M15:M19)</f>
        <v>0</v>
      </c>
      <c r="N20" s="80">
        <f t="shared" si="8"/>
        <v>0</v>
      </c>
      <c r="O20" s="68"/>
    </row>
    <row r="21" spans="4:15" ht="14" thickBot="1" x14ac:dyDescent="0.2">
      <c r="J21" s="29" t="s">
        <v>24</v>
      </c>
      <c r="K21" s="30" t="e">
        <f>K20/$N$20</f>
        <v>#DIV/0!</v>
      </c>
      <c r="L21" s="31" t="e">
        <f>L20/$N$20</f>
        <v>#DIV/0!</v>
      </c>
      <c r="M21" s="32" t="e">
        <f>M20/$N$20</f>
        <v>#DIV/0!</v>
      </c>
      <c r="N21" s="73"/>
      <c r="O21" s="74" t="e">
        <f>SUM(K21:M21)</f>
        <v>#DIV/0!</v>
      </c>
    </row>
    <row r="23" spans="4:15" x14ac:dyDescent="0.15">
      <c r="D23" s="24"/>
      <c r="K23" s="1"/>
    </row>
  </sheetData>
  <mergeCells count="5">
    <mergeCell ref="D3:F3"/>
    <mergeCell ref="K3:M3"/>
    <mergeCell ref="K13:M13"/>
    <mergeCell ref="B5:B7"/>
    <mergeCell ref="B3:C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9CB83-6DCD-4B8D-8B12-ADF58BAF0003}">
  <sheetPr>
    <pageSetUpPr fitToPage="1"/>
  </sheetPr>
  <dimension ref="A1:M84"/>
  <sheetViews>
    <sheetView tabSelected="1" zoomScale="130" zoomScaleNormal="13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2" sqref="C2"/>
    </sheetView>
  </sheetViews>
  <sheetFormatPr baseColWidth="10" defaultColWidth="8.83203125" defaultRowHeight="13" x14ac:dyDescent="0.15"/>
  <cols>
    <col min="1" max="1" width="5.1640625" style="117" customWidth="1"/>
    <col min="2" max="2" width="41" style="106" customWidth="1"/>
    <col min="3" max="3" width="15.33203125" style="99" customWidth="1"/>
    <col min="4" max="4" width="11.5" style="102" customWidth="1"/>
    <col min="5" max="5" width="11.5" style="103" customWidth="1"/>
    <col min="6" max="6" width="11.33203125" style="108" customWidth="1"/>
    <col min="7" max="7" width="9" style="103"/>
    <col min="8" max="8" width="9.1640625" style="110"/>
    <col min="9" max="9" width="19.6640625" style="131" customWidth="1"/>
    <col min="10" max="10" width="42.33203125" style="106" customWidth="1"/>
    <col min="11" max="11" width="11.33203125" style="7" customWidth="1"/>
    <col min="12" max="12" width="24.1640625" style="3" bestFit="1" customWidth="1"/>
    <col min="13" max="13" width="54.1640625" style="92" customWidth="1"/>
  </cols>
  <sheetData>
    <row r="1" spans="1:13" s="2" customFormat="1" ht="16" thickBot="1" x14ac:dyDescent="0.2">
      <c r="A1" s="115" t="s">
        <v>0</v>
      </c>
      <c r="B1" s="104" t="s">
        <v>1</v>
      </c>
      <c r="C1" s="97" t="s">
        <v>39</v>
      </c>
      <c r="D1" s="5" t="s">
        <v>2</v>
      </c>
      <c r="E1" s="96" t="s">
        <v>3</v>
      </c>
      <c r="F1" s="112" t="s">
        <v>31</v>
      </c>
      <c r="G1" s="96" t="s">
        <v>28</v>
      </c>
      <c r="H1" s="114" t="s">
        <v>40</v>
      </c>
      <c r="I1" s="129" t="s">
        <v>45</v>
      </c>
      <c r="J1" s="104" t="s">
        <v>4</v>
      </c>
      <c r="K1" s="91" t="s">
        <v>16</v>
      </c>
      <c r="L1" s="113" t="s">
        <v>15</v>
      </c>
      <c r="M1" s="95" t="s">
        <v>29</v>
      </c>
    </row>
    <row r="2" spans="1:13" x14ac:dyDescent="0.15">
      <c r="A2" s="116">
        <f t="shared" ref="A2:A65" si="0">ROW()-1</f>
        <v>1</v>
      </c>
      <c r="B2" s="105"/>
      <c r="C2" s="98"/>
      <c r="D2" s="100"/>
      <c r="E2" s="101"/>
      <c r="F2" s="107"/>
      <c r="G2" s="101"/>
      <c r="H2" s="111"/>
      <c r="I2" s="130"/>
      <c r="J2" s="105"/>
      <c r="K2" s="6"/>
      <c r="L2" s="4"/>
      <c r="M2" s="94"/>
    </row>
    <row r="3" spans="1:13" x14ac:dyDescent="0.15">
      <c r="A3" s="116">
        <f t="shared" si="0"/>
        <v>2</v>
      </c>
    </row>
    <row r="4" spans="1:13" x14ac:dyDescent="0.15">
      <c r="A4" s="116">
        <f t="shared" si="0"/>
        <v>3</v>
      </c>
    </row>
    <row r="5" spans="1:13" x14ac:dyDescent="0.15">
      <c r="A5" s="116">
        <f t="shared" si="0"/>
        <v>4</v>
      </c>
      <c r="G5" s="109"/>
    </row>
    <row r="6" spans="1:13" x14ac:dyDescent="0.15">
      <c r="A6" s="116">
        <f t="shared" si="0"/>
        <v>5</v>
      </c>
      <c r="G6" s="109"/>
    </row>
    <row r="7" spans="1:13" x14ac:dyDescent="0.15">
      <c r="A7" s="116">
        <f t="shared" si="0"/>
        <v>6</v>
      </c>
      <c r="G7" s="109"/>
    </row>
    <row r="8" spans="1:13" x14ac:dyDescent="0.15">
      <c r="A8" s="116">
        <f t="shared" si="0"/>
        <v>7</v>
      </c>
    </row>
    <row r="9" spans="1:13" x14ac:dyDescent="0.15">
      <c r="A9" s="116">
        <f t="shared" si="0"/>
        <v>8</v>
      </c>
      <c r="G9" s="109"/>
    </row>
    <row r="10" spans="1:13" x14ac:dyDescent="0.15">
      <c r="A10" s="116">
        <f t="shared" si="0"/>
        <v>9</v>
      </c>
      <c r="M10" s="93"/>
    </row>
    <row r="11" spans="1:13" x14ac:dyDescent="0.15">
      <c r="A11" s="116">
        <f t="shared" si="0"/>
        <v>10</v>
      </c>
    </row>
    <row r="12" spans="1:13" x14ac:dyDescent="0.15">
      <c r="A12" s="116">
        <f t="shared" si="0"/>
        <v>11</v>
      </c>
    </row>
    <row r="13" spans="1:13" x14ac:dyDescent="0.15">
      <c r="A13" s="116">
        <f t="shared" si="0"/>
        <v>12</v>
      </c>
      <c r="G13" s="109"/>
    </row>
    <row r="14" spans="1:13" x14ac:dyDescent="0.15">
      <c r="A14" s="116">
        <f t="shared" si="0"/>
        <v>13</v>
      </c>
      <c r="G14" s="109"/>
    </row>
    <row r="15" spans="1:13" x14ac:dyDescent="0.15">
      <c r="A15" s="116">
        <f t="shared" si="0"/>
        <v>14</v>
      </c>
    </row>
    <row r="16" spans="1:13" x14ac:dyDescent="0.15">
      <c r="A16" s="116">
        <f t="shared" si="0"/>
        <v>15</v>
      </c>
      <c r="G16" s="109"/>
    </row>
    <row r="17" spans="1:12" x14ac:dyDescent="0.15">
      <c r="A17" s="116">
        <f t="shared" si="0"/>
        <v>16</v>
      </c>
    </row>
    <row r="18" spans="1:12" x14ac:dyDescent="0.15">
      <c r="A18" s="116">
        <f t="shared" si="0"/>
        <v>17</v>
      </c>
    </row>
    <row r="19" spans="1:12" x14ac:dyDescent="0.15">
      <c r="A19" s="116">
        <f t="shared" si="0"/>
        <v>18</v>
      </c>
    </row>
    <row r="20" spans="1:12" x14ac:dyDescent="0.15">
      <c r="A20" s="116">
        <f t="shared" si="0"/>
        <v>19</v>
      </c>
    </row>
    <row r="21" spans="1:12" x14ac:dyDescent="0.15">
      <c r="A21" s="116">
        <f t="shared" si="0"/>
        <v>20</v>
      </c>
    </row>
    <row r="22" spans="1:12" x14ac:dyDescent="0.15">
      <c r="A22" s="116">
        <f t="shared" si="0"/>
        <v>21</v>
      </c>
      <c r="G22" s="109"/>
    </row>
    <row r="23" spans="1:12" x14ac:dyDescent="0.15">
      <c r="A23" s="116">
        <f t="shared" si="0"/>
        <v>22</v>
      </c>
    </row>
    <row r="24" spans="1:12" x14ac:dyDescent="0.15">
      <c r="A24" s="116">
        <f t="shared" si="0"/>
        <v>23</v>
      </c>
    </row>
    <row r="25" spans="1:12" x14ac:dyDescent="0.15">
      <c r="A25" s="116">
        <f t="shared" si="0"/>
        <v>24</v>
      </c>
    </row>
    <row r="26" spans="1:12" x14ac:dyDescent="0.15">
      <c r="A26" s="116">
        <f t="shared" si="0"/>
        <v>25</v>
      </c>
    </row>
    <row r="27" spans="1:12" x14ac:dyDescent="0.15">
      <c r="A27" s="116">
        <f t="shared" si="0"/>
        <v>26</v>
      </c>
      <c r="L27" s="93"/>
    </row>
    <row r="28" spans="1:12" x14ac:dyDescent="0.15">
      <c r="A28" s="116">
        <f t="shared" si="0"/>
        <v>27</v>
      </c>
    </row>
    <row r="29" spans="1:12" x14ac:dyDescent="0.15">
      <c r="A29" s="116">
        <f t="shared" si="0"/>
        <v>28</v>
      </c>
      <c r="L29" s="93"/>
    </row>
    <row r="30" spans="1:12" x14ac:dyDescent="0.15">
      <c r="A30" s="116">
        <f t="shared" si="0"/>
        <v>29</v>
      </c>
    </row>
    <row r="31" spans="1:12" x14ac:dyDescent="0.15">
      <c r="A31" s="116">
        <f t="shared" si="0"/>
        <v>30</v>
      </c>
      <c r="G31" s="109"/>
    </row>
    <row r="32" spans="1:12" x14ac:dyDescent="0.15">
      <c r="A32" s="116">
        <f t="shared" si="0"/>
        <v>31</v>
      </c>
      <c r="L32" s="93"/>
    </row>
    <row r="33" spans="1:1" x14ac:dyDescent="0.15">
      <c r="A33" s="116">
        <f t="shared" si="0"/>
        <v>32</v>
      </c>
    </row>
    <row r="34" spans="1:1" x14ac:dyDescent="0.15">
      <c r="A34" s="116">
        <f t="shared" si="0"/>
        <v>33</v>
      </c>
    </row>
    <row r="35" spans="1:1" x14ac:dyDescent="0.15">
      <c r="A35" s="116">
        <f t="shared" si="0"/>
        <v>34</v>
      </c>
    </row>
    <row r="36" spans="1:1" x14ac:dyDescent="0.15">
      <c r="A36" s="116">
        <f t="shared" si="0"/>
        <v>35</v>
      </c>
    </row>
    <row r="37" spans="1:1" x14ac:dyDescent="0.15">
      <c r="A37" s="116">
        <f t="shared" si="0"/>
        <v>36</v>
      </c>
    </row>
    <row r="38" spans="1:1" x14ac:dyDescent="0.15">
      <c r="A38" s="116">
        <f t="shared" si="0"/>
        <v>37</v>
      </c>
    </row>
    <row r="39" spans="1:1" x14ac:dyDescent="0.15">
      <c r="A39" s="116">
        <f t="shared" si="0"/>
        <v>38</v>
      </c>
    </row>
    <row r="40" spans="1:1" x14ac:dyDescent="0.15">
      <c r="A40" s="116">
        <f t="shared" si="0"/>
        <v>39</v>
      </c>
    </row>
    <row r="41" spans="1:1" x14ac:dyDescent="0.15">
      <c r="A41" s="116">
        <f t="shared" si="0"/>
        <v>40</v>
      </c>
    </row>
    <row r="42" spans="1:1" x14ac:dyDescent="0.15">
      <c r="A42" s="116">
        <f t="shared" si="0"/>
        <v>41</v>
      </c>
    </row>
    <row r="43" spans="1:1" x14ac:dyDescent="0.15">
      <c r="A43" s="116">
        <f t="shared" si="0"/>
        <v>42</v>
      </c>
    </row>
    <row r="44" spans="1:1" x14ac:dyDescent="0.15">
      <c r="A44" s="116">
        <f t="shared" si="0"/>
        <v>43</v>
      </c>
    </row>
    <row r="45" spans="1:1" x14ac:dyDescent="0.15">
      <c r="A45" s="116">
        <f t="shared" si="0"/>
        <v>44</v>
      </c>
    </row>
    <row r="46" spans="1:1" x14ac:dyDescent="0.15">
      <c r="A46" s="116">
        <f t="shared" si="0"/>
        <v>45</v>
      </c>
    </row>
    <row r="47" spans="1:1" x14ac:dyDescent="0.15">
      <c r="A47" s="116">
        <f t="shared" si="0"/>
        <v>46</v>
      </c>
    </row>
    <row r="48" spans="1:1" x14ac:dyDescent="0.15">
      <c r="A48" s="116">
        <f t="shared" si="0"/>
        <v>47</v>
      </c>
    </row>
    <row r="49" spans="1:6" x14ac:dyDescent="0.15">
      <c r="A49" s="116">
        <f t="shared" si="0"/>
        <v>48</v>
      </c>
    </row>
    <row r="50" spans="1:6" x14ac:dyDescent="0.15">
      <c r="A50" s="116">
        <f t="shared" si="0"/>
        <v>49</v>
      </c>
      <c r="F50" s="103"/>
    </row>
    <row r="51" spans="1:6" x14ac:dyDescent="0.15">
      <c r="A51" s="116">
        <f t="shared" si="0"/>
        <v>50</v>
      </c>
    </row>
    <row r="52" spans="1:6" x14ac:dyDescent="0.15">
      <c r="A52" s="116">
        <f t="shared" si="0"/>
        <v>51</v>
      </c>
    </row>
    <row r="53" spans="1:6" x14ac:dyDescent="0.15">
      <c r="A53" s="116">
        <f t="shared" si="0"/>
        <v>52</v>
      </c>
    </row>
    <row r="54" spans="1:6" x14ac:dyDescent="0.15">
      <c r="A54" s="116">
        <f t="shared" si="0"/>
        <v>53</v>
      </c>
    </row>
    <row r="55" spans="1:6" x14ac:dyDescent="0.15">
      <c r="A55" s="116">
        <f t="shared" si="0"/>
        <v>54</v>
      </c>
    </row>
    <row r="56" spans="1:6" x14ac:dyDescent="0.15">
      <c r="A56" s="116">
        <f t="shared" si="0"/>
        <v>55</v>
      </c>
    </row>
    <row r="57" spans="1:6" x14ac:dyDescent="0.15">
      <c r="A57" s="116">
        <f t="shared" si="0"/>
        <v>56</v>
      </c>
    </row>
    <row r="58" spans="1:6" x14ac:dyDescent="0.15">
      <c r="A58" s="116">
        <f t="shared" si="0"/>
        <v>57</v>
      </c>
    </row>
    <row r="59" spans="1:6" x14ac:dyDescent="0.15">
      <c r="A59" s="116">
        <f t="shared" si="0"/>
        <v>58</v>
      </c>
    </row>
    <row r="60" spans="1:6" x14ac:dyDescent="0.15">
      <c r="A60" s="116">
        <f t="shared" si="0"/>
        <v>59</v>
      </c>
    </row>
    <row r="61" spans="1:6" x14ac:dyDescent="0.15">
      <c r="A61" s="116">
        <f t="shared" si="0"/>
        <v>60</v>
      </c>
    </row>
    <row r="62" spans="1:6" x14ac:dyDescent="0.15">
      <c r="A62" s="116">
        <f t="shared" si="0"/>
        <v>61</v>
      </c>
    </row>
    <row r="63" spans="1:6" x14ac:dyDescent="0.15">
      <c r="A63" s="116">
        <f t="shared" si="0"/>
        <v>62</v>
      </c>
    </row>
    <row r="64" spans="1:6" x14ac:dyDescent="0.15">
      <c r="A64" s="116">
        <f t="shared" si="0"/>
        <v>63</v>
      </c>
    </row>
    <row r="65" spans="1:1" x14ac:dyDescent="0.15">
      <c r="A65" s="116">
        <f t="shared" si="0"/>
        <v>64</v>
      </c>
    </row>
    <row r="66" spans="1:1" x14ac:dyDescent="0.15">
      <c r="A66" s="116">
        <f t="shared" ref="A66:A84" si="1">ROW()-1</f>
        <v>65</v>
      </c>
    </row>
    <row r="67" spans="1:1" x14ac:dyDescent="0.15">
      <c r="A67" s="116">
        <f t="shared" si="1"/>
        <v>66</v>
      </c>
    </row>
    <row r="68" spans="1:1" x14ac:dyDescent="0.15">
      <c r="A68" s="116">
        <f t="shared" si="1"/>
        <v>67</v>
      </c>
    </row>
    <row r="69" spans="1:1" x14ac:dyDescent="0.15">
      <c r="A69" s="116">
        <f t="shared" si="1"/>
        <v>68</v>
      </c>
    </row>
    <row r="70" spans="1:1" x14ac:dyDescent="0.15">
      <c r="A70" s="116">
        <f t="shared" si="1"/>
        <v>69</v>
      </c>
    </row>
    <row r="71" spans="1:1" x14ac:dyDescent="0.15">
      <c r="A71" s="116">
        <f t="shared" si="1"/>
        <v>70</v>
      </c>
    </row>
    <row r="72" spans="1:1" x14ac:dyDescent="0.15">
      <c r="A72" s="116">
        <f t="shared" si="1"/>
        <v>71</v>
      </c>
    </row>
    <row r="73" spans="1:1" x14ac:dyDescent="0.15">
      <c r="A73" s="116">
        <f t="shared" si="1"/>
        <v>72</v>
      </c>
    </row>
    <row r="74" spans="1:1" x14ac:dyDescent="0.15">
      <c r="A74" s="116">
        <f t="shared" si="1"/>
        <v>73</v>
      </c>
    </row>
    <row r="75" spans="1:1" x14ac:dyDescent="0.15">
      <c r="A75" s="116">
        <f t="shared" si="1"/>
        <v>74</v>
      </c>
    </row>
    <row r="76" spans="1:1" x14ac:dyDescent="0.15">
      <c r="A76" s="116">
        <f t="shared" si="1"/>
        <v>75</v>
      </c>
    </row>
    <row r="77" spans="1:1" x14ac:dyDescent="0.15">
      <c r="A77" s="116">
        <f t="shared" si="1"/>
        <v>76</v>
      </c>
    </row>
    <row r="78" spans="1:1" x14ac:dyDescent="0.15">
      <c r="A78" s="116">
        <f t="shared" si="1"/>
        <v>77</v>
      </c>
    </row>
    <row r="79" spans="1:1" x14ac:dyDescent="0.15">
      <c r="A79" s="116">
        <f t="shared" si="1"/>
        <v>78</v>
      </c>
    </row>
    <row r="80" spans="1:1" x14ac:dyDescent="0.15">
      <c r="A80" s="116">
        <f t="shared" si="1"/>
        <v>79</v>
      </c>
    </row>
    <row r="81" spans="1:1" x14ac:dyDescent="0.15">
      <c r="A81" s="116">
        <f t="shared" si="1"/>
        <v>80</v>
      </c>
    </row>
    <row r="82" spans="1:1" x14ac:dyDescent="0.15">
      <c r="A82" s="116">
        <f t="shared" si="1"/>
        <v>81</v>
      </c>
    </row>
    <row r="83" spans="1:1" x14ac:dyDescent="0.15">
      <c r="A83" s="116">
        <f t="shared" si="1"/>
        <v>82</v>
      </c>
    </row>
    <row r="84" spans="1:1" x14ac:dyDescent="0.15">
      <c r="A84" s="116">
        <f t="shared" si="1"/>
        <v>83</v>
      </c>
    </row>
  </sheetData>
  <autoFilter ref="A1:L84" xr:uid="{7F6E5FFB-66BA-479D-AB4E-8031057057C1}"/>
  <conditionalFormatting sqref="D1:I49 D51:I1048576">
    <cfRule type="cellIs" dxfId="9" priority="11" operator="equal">
      <formula>"High"</formula>
    </cfRule>
    <cfRule type="cellIs" dxfId="8" priority="12" operator="equal">
      <formula>"Med"</formula>
    </cfRule>
    <cfRule type="cellIs" dxfId="7" priority="13" operator="equal">
      <formula>"Low"</formula>
    </cfRule>
  </conditionalFormatting>
  <conditionalFormatting sqref="D50:I50">
    <cfRule type="cellIs" dxfId="6" priority="1" operator="equal">
      <formula>"High"</formula>
    </cfRule>
    <cfRule type="cellIs" dxfId="5" priority="2" operator="equal">
      <formula>"Med"</formula>
    </cfRule>
    <cfRule type="cellIs" dxfId="4" priority="3" operator="equal">
      <formula>"Low"</formula>
    </cfRule>
  </conditionalFormatting>
  <conditionalFormatting sqref="G10:I10 L1:L3 L5:L1048576 M10">
    <cfRule type="cellIs" dxfId="0" priority="10" operator="equal">
      <formula>"Y"</formula>
    </cfRule>
  </conditionalFormatting>
  <pageMargins left="0.7" right="0.7" top="0.75" bottom="0.75" header="0.3" footer="0.3"/>
  <pageSetup scale="50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7" operator="containsText" id="{7EED3257-4065-44C8-BA33-053BC4568EDA}">
            <xm:f>NOT(ISERROR(SEARCH(Lists!$E$4,F1)))</xm:f>
            <xm:f>Lists!$E$4</xm:f>
            <x14:dxf>
              <fill>
                <patternFill>
                  <bgColor rgb="FF92D050"/>
                </patternFill>
              </fill>
            </x14:dxf>
          </x14:cfRule>
          <x14:cfRule type="containsText" priority="8" operator="containsText" id="{B2795195-0D91-4D1F-9B7D-E56147F16086}">
            <xm:f>NOT(ISERROR(SEARCH(Lists!$E$2,F1)))</xm:f>
            <xm:f>Lists!$E$2</xm:f>
            <x14:dxf>
              <fill>
                <patternFill>
                  <bgColor rgb="FFFF5050"/>
                </patternFill>
              </fill>
            </x14:dxf>
          </x14:cfRule>
          <x14:cfRule type="containsText" priority="9" operator="containsText" id="{6A05870B-7563-4577-B184-4D1D447BAC2B}">
            <xm:f>NOT(ISERROR(SEARCH(Lists!$E$3,F1)))</xm:f>
            <xm:f>Lists!$E$3</xm:f>
            <x14:dxf>
              <fill>
                <patternFill>
                  <bgColor theme="5"/>
                </patternFill>
              </fill>
            </x14:dxf>
          </x14:cfRule>
          <xm:sqref>F1:I1048576 K1:K1048576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19470CA1-CF00-4F0E-919F-579B3B552580}">
          <x14:formula1>
            <xm:f>Lists!$D$2:$D$12</xm:f>
          </x14:formula1>
          <xm:sqref>L30:L31 L12:L13 L5:L9 L22:L24 L20 L33:L34 L26 L28 L2:L3 L15:L18 L36:L1048576</xm:sqref>
        </x14:dataValidation>
        <x14:dataValidation type="list" allowBlank="1" showInputMessage="1" showErrorMessage="1" xr:uid="{7253BF18-E65B-4B20-BF0A-7F1BF80DB63C}">
          <x14:formula1>
            <xm:f>Lists!$F$2:$F$3</xm:f>
          </x14:formula1>
          <xm:sqref>L30:L31 L12:L13 L5:L9 L22:L24 L20 L33:L34 L26 L28 L2:L3 L15:L18 L36:L1048576</xm:sqref>
        </x14:dataValidation>
        <x14:dataValidation type="list" allowBlank="1" showInputMessage="1" showErrorMessage="1" xr:uid="{B15340C0-6566-4583-8D44-52317EDF3D38}">
          <x14:formula1>
            <xm:f>Lists!$B$2:$B$4</xm:f>
          </x14:formula1>
          <xm:sqref>D50:F50 D51:H1048576 G2:H1048576 D2:H49</xm:sqref>
        </x14:dataValidation>
        <x14:dataValidation type="list" allowBlank="1" showInputMessage="1" showErrorMessage="1" xr:uid="{6143CC3F-86FF-430C-9B2E-9DA0ABCA3671}">
          <x14:formula1>
            <xm:f>Lists!$E$2:$E$5</xm:f>
          </x14:formula1>
          <xm:sqref>K2:K1048576</xm:sqref>
        </x14:dataValidation>
        <x14:dataValidation type="list" allowBlank="1" showInputMessage="1" showErrorMessage="1" xr:uid="{03B446E4-F957-42AA-8707-59FEFFFF113B}">
          <x14:formula1>
            <xm:f>Lists!$C$2:$C$8</xm:f>
          </x14:formula1>
          <xm:sqref>C2:C1048576</xm:sqref>
        </x14:dataValidation>
        <x14:dataValidation type="list" allowBlank="1" showInputMessage="1" showErrorMessage="1" xr:uid="{74018CDB-C4D3-A34C-9465-84C097ED62C7}">
          <x14:formula1>
            <xm:f>Lists!$H$2:$H$7</xm:f>
          </x14:formula1>
          <xm:sqref>I2:I1048576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A3048-8BD8-48D6-B160-860E24330576}">
  <dimension ref="B2:H10"/>
  <sheetViews>
    <sheetView workbookViewId="0">
      <selection activeCell="I22" sqref="I22"/>
    </sheetView>
  </sheetViews>
  <sheetFormatPr baseColWidth="10" defaultColWidth="8.83203125" defaultRowHeight="13" x14ac:dyDescent="0.15"/>
  <cols>
    <col min="3" max="3" width="10.5" bestFit="1" customWidth="1"/>
    <col min="4" max="4" width="15.6640625" bestFit="1" customWidth="1"/>
  </cols>
  <sheetData>
    <row r="2" spans="2:8" x14ac:dyDescent="0.15">
      <c r="B2" t="s">
        <v>5</v>
      </c>
      <c r="C2" t="s">
        <v>10</v>
      </c>
      <c r="D2" t="s">
        <v>37</v>
      </c>
      <c r="E2" t="s">
        <v>17</v>
      </c>
      <c r="F2" t="s">
        <v>26</v>
      </c>
      <c r="G2">
        <v>1</v>
      </c>
      <c r="H2" t="s">
        <v>41</v>
      </c>
    </row>
    <row r="3" spans="2:8" x14ac:dyDescent="0.15">
      <c r="B3" t="s">
        <v>6</v>
      </c>
      <c r="C3" t="s">
        <v>30</v>
      </c>
      <c r="D3" t="s">
        <v>34</v>
      </c>
      <c r="E3" t="s">
        <v>18</v>
      </c>
      <c r="F3" t="s">
        <v>27</v>
      </c>
      <c r="G3">
        <v>2</v>
      </c>
      <c r="H3" t="s">
        <v>42</v>
      </c>
    </row>
    <row r="4" spans="2:8" x14ac:dyDescent="0.15">
      <c r="B4" t="s">
        <v>7</v>
      </c>
      <c r="C4" t="s">
        <v>9</v>
      </c>
      <c r="D4" t="s">
        <v>13</v>
      </c>
      <c r="E4" t="s">
        <v>19</v>
      </c>
      <c r="G4">
        <v>3</v>
      </c>
      <c r="H4" t="s">
        <v>44</v>
      </c>
    </row>
    <row r="5" spans="2:8" x14ac:dyDescent="0.15">
      <c r="C5" t="s">
        <v>12</v>
      </c>
      <c r="D5" t="s">
        <v>35</v>
      </c>
      <c r="E5" t="s">
        <v>20</v>
      </c>
      <c r="H5" t="s">
        <v>43</v>
      </c>
    </row>
    <row r="6" spans="2:8" x14ac:dyDescent="0.15">
      <c r="C6" t="s">
        <v>46</v>
      </c>
      <c r="D6" t="s">
        <v>14</v>
      </c>
    </row>
    <row r="7" spans="2:8" x14ac:dyDescent="0.15">
      <c r="C7" t="s">
        <v>11</v>
      </c>
      <c r="D7" t="s">
        <v>33</v>
      </c>
    </row>
    <row r="8" spans="2:8" x14ac:dyDescent="0.15">
      <c r="C8" t="s">
        <v>8</v>
      </c>
      <c r="D8" t="s">
        <v>32</v>
      </c>
    </row>
    <row r="9" spans="2:8" x14ac:dyDescent="0.15">
      <c r="D9" t="s">
        <v>36</v>
      </c>
    </row>
    <row r="10" spans="2:8" x14ac:dyDescent="0.15">
      <c r="D10" t="s">
        <v>38</v>
      </c>
    </row>
  </sheetData>
  <sortState xmlns:xlrd2="http://schemas.microsoft.com/office/spreadsheetml/2017/richdata2" ref="C2:C8">
    <sortCondition ref="C2:C8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B313EC4E2A7354F9CEA978CB0C7517E" ma:contentTypeVersion="12" ma:contentTypeDescription="Create a new document." ma:contentTypeScope="" ma:versionID="b265b1614413bd48ff09f1e2dfed76b0">
  <xsd:schema xmlns:xsd="http://www.w3.org/2001/XMLSchema" xmlns:xs="http://www.w3.org/2001/XMLSchema" xmlns:p="http://schemas.microsoft.com/office/2006/metadata/properties" xmlns:ns2="96add39c-3e3c-4283-a4dc-b2ad0e2919af" xmlns:ns3="d5e076b0-8f97-49c7-a615-7fdff96c30c7" targetNamespace="http://schemas.microsoft.com/office/2006/metadata/properties" ma:root="true" ma:fieldsID="36e616628d67383165cbcdcdc8a7c43d" ns2:_="" ns3:_="">
    <xsd:import namespace="96add39c-3e3c-4283-a4dc-b2ad0e2919af"/>
    <xsd:import namespace="d5e076b0-8f97-49c7-a615-7fdff96c30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add39c-3e3c-4283-a4dc-b2ad0e291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e076b0-8f97-49c7-a615-7fdff96c30c7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AFADFFB-738B-47D4-8E00-DBB7B90570F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4FD69DA-CF5A-46FC-A28B-2C68D15A9BE6}">
  <ds:schemaRefs>
    <ds:schemaRef ds:uri="http://purl.org/dc/terms/"/>
    <ds:schemaRef ds:uri="http://schemas.microsoft.com/office/2006/documentManagement/types"/>
    <ds:schemaRef ds:uri="d5e076b0-8f97-49c7-a615-7fdff96c30c7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96add39c-3e3c-4283-a4dc-b2ad0e2919af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F9ECE02C-8BFA-4016-83E9-ADDE7BA7D7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6add39c-3e3c-4283-a4dc-b2ad0e2919af"/>
    <ds:schemaRef ds:uri="d5e076b0-8f97-49c7-a615-7fdff96c30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Risk summary</vt:lpstr>
      <vt:lpstr>Risks</vt:lpstr>
      <vt:lpstr>Lists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Pipeline Contributors</dc:creator>
  <cp:lastModifiedBy>Pipeline Contributors</cp:lastModifiedB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0x010100DB313EC4E2A7354F9CEA978CB0C7517E</vt:lpwstr>
  </property>
</Properties>
</file>